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per Evaluation Form" sheetId="1" r:id="rId1"/>
    <sheet name="Session Consolidated Sheet" sheetId="2" r:id="rId2"/>
    <sheet name="Conference Feedback Form" sheetId="3" r:id="rId3"/>
    <sheet name="Scoring Rubrics &amp; Guidelines" sheetId="4" r:id="rId4"/>
  </sheets>
  <calcPr calcId="124519" fullCalcOnLoad="1"/>
</workbook>
</file>

<file path=xl/sharedStrings.xml><?xml version="1.0" encoding="utf-8"?>
<sst xmlns="http://schemas.openxmlformats.org/spreadsheetml/2006/main" count="235" uniqueCount="185">
  <si>
    <t>IEEE INTERNATIONAL CONFERENCE</t>
  </si>
  <si>
    <t>SESSION CHAIR — PAPER PRESENTATION EVALUATION FORM</t>
  </si>
  <si>
    <t>Track:</t>
  </si>
  <si>
    <t>Track 1: Artificial Intelligence &amp; Data Science</t>
  </si>
  <si>
    <t>Date &amp; Time:</t>
  </si>
  <si>
    <t>2026-10-15 | 10:00 AM - 01:00 PM</t>
  </si>
  <si>
    <t>Session:</t>
  </si>
  <si>
    <t>Technical Session 2A (Room: Auditorium Hall B)</t>
  </si>
  <si>
    <t>Venue / Hall:</t>
  </si>
  <si>
    <t>Hall B / Online Hybrid</t>
  </si>
  <si>
    <t>Paper ID:</t>
  </si>
  <si>
    <t>IEEE-2026-104</t>
  </si>
  <si>
    <t>Presenter Name:</t>
  </si>
  <si>
    <t>Dr. Rajesh Sharma</t>
  </si>
  <si>
    <t>Paper Title:</t>
  </si>
  <si>
    <t>Edge-Assisted Federated Learning for Real-Time Threat Detection in IoT Networks</t>
  </si>
  <si>
    <t>Chair Name:</t>
  </si>
  <si>
    <t>Dr. Ananya Verma</t>
  </si>
  <si>
    <t>Institution / Affiliation:</t>
  </si>
  <si>
    <t>National Institute of Technology</t>
  </si>
  <si>
    <t>No.</t>
  </si>
  <si>
    <t>Evaluation Parameter</t>
  </si>
  <si>
    <t>Maximum Marks</t>
  </si>
  <si>
    <t>Marks Awarded</t>
  </si>
  <si>
    <t>Chair Remarks / Comments</t>
  </si>
  <si>
    <t>1</t>
  </si>
  <si>
    <t>Relevance, Significance &amp; Novelty</t>
  </si>
  <si>
    <t>High industrial relevance and unique federated architecture.</t>
  </si>
  <si>
    <t>2</t>
  </si>
  <si>
    <t>Technical Quality &amp; Methodology</t>
  </si>
  <si>
    <t>Rigorous mathematical formulation and edge pipeline.</t>
  </si>
  <si>
    <t>3</t>
  </si>
  <si>
    <t>Results &amp; Research Contribution</t>
  </si>
  <si>
    <t>Outperforms baseline models with 94.8% accuracy.</t>
  </si>
  <si>
    <t>4</t>
  </si>
  <si>
    <t>Presentation Quality &amp; Clarity</t>
  </si>
  <si>
    <t>Clear slides, effective flow, and excellent time management.</t>
  </si>
  <si>
    <t>5</t>
  </si>
  <si>
    <t>Q&amp;A / Subject Knowledge</t>
  </si>
  <si>
    <t>Handled complex architectural questions with deep subject knowledge.</t>
  </si>
  <si>
    <t>Total Score</t>
  </si>
  <si>
    <t>(Evaluated out of 50 Marks)</t>
  </si>
  <si>
    <t>Recommendation for Best Paper Award?</t>
  </si>
  <si>
    <t xml:space="preserve"> [ X ] YES       [   ] NO</t>
  </si>
  <si>
    <t>Session Chair Summary &amp; Constructive Feedback to Authors:
The work demonstrates outstanding promise for publication and honors. Highly recommended for the Best Paper Award track.</t>
  </si>
  <si>
    <t>Session Chair Signature: ____________________________</t>
  </si>
  <si>
    <t>Date: ________________________</t>
  </si>
  <si>
    <t>IEEE INTERNATIONAL CONFERENCE — TECHNICAL SESSION CONSOLIDATED EVALUATION SHEET</t>
  </si>
  <si>
    <t>Session Chair Master Evaluation Register (Total: 50 Marks per Paper)</t>
  </si>
  <si>
    <t>Track 1: Intelligent Systems &amp; Computing</t>
  </si>
  <si>
    <t>Session Name / Hall:</t>
  </si>
  <si>
    <t>Session 1A (Hall B - Audi 2)</t>
  </si>
  <si>
    <t>Sl No.</t>
  </si>
  <si>
    <t>Paper ID</t>
  </si>
  <si>
    <t>Paper Title</t>
  </si>
  <si>
    <t>Presenter Name</t>
  </si>
  <si>
    <t>Relevance &amp; Novelty
(Max 10)</t>
  </si>
  <si>
    <t>Technical &amp; Method
(Max 10)</t>
  </si>
  <si>
    <t>Results &amp; Contrib.
(Max 10)</t>
  </si>
  <si>
    <t>Presentation Clarity
(Max 10)</t>
  </si>
  <si>
    <t>Q&amp;A Knowledge
(Max 10)</t>
  </si>
  <si>
    <t>Total Score
(Max 50)</t>
  </si>
  <si>
    <t>Best Paper
Nominated?</t>
  </si>
  <si>
    <t>Remarks</t>
  </si>
  <si>
    <t>IEEE-101</t>
  </si>
  <si>
    <t>Edge-Assisted Federated Learning in IoT Networks</t>
  </si>
  <si>
    <t>YES</t>
  </si>
  <si>
    <t>Strong candidate</t>
  </si>
  <si>
    <t>IEEE-102</t>
  </si>
  <si>
    <t>Adaptive Vision Transformers for Medical Imaging</t>
  </si>
  <si>
    <t>Sneha Roy</t>
  </si>
  <si>
    <t>NO</t>
  </si>
  <si>
    <t>Very good presentation</t>
  </si>
  <si>
    <t>IEEE-103</t>
  </si>
  <si>
    <t>Zero-Shot Anomaly Detection in High-Speed Rail</t>
  </si>
  <si>
    <t>Vikram Patel</t>
  </si>
  <si>
    <t>Good methodology</t>
  </si>
  <si>
    <t>IEEE-104</t>
  </si>
  <si>
    <t>Self-Supervised Graph Learning for Fraud Defense</t>
  </si>
  <si>
    <t>Dr. Meera Iyer</t>
  </si>
  <si>
    <t>Outstanding innovation</t>
  </si>
  <si>
    <t>IEEE-105</t>
  </si>
  <si>
    <t>Energy-Efficient Scheduling in Cloud Data Centers</t>
  </si>
  <si>
    <t>Amitabh Das</t>
  </si>
  <si>
    <t>Solid experimental work</t>
  </si>
  <si>
    <t>6</t>
  </si>
  <si>
    <t>IEEE-106</t>
  </si>
  <si>
    <t>Secure Smart Contracts with Formal Verification</t>
  </si>
  <si>
    <t>Pooja Hegde</t>
  </si>
  <si>
    <t>Clear exposition</t>
  </si>
  <si>
    <t>7</t>
  </si>
  <si>
    <t>IEEE-107</t>
  </si>
  <si>
    <t>Quantum Key Distribution Protocols for 6G</t>
  </si>
  <si>
    <t>Naveen Chander</t>
  </si>
  <si>
    <t>Promising research</t>
  </si>
  <si>
    <t>8</t>
  </si>
  <si>
    <t>IEEE-108</t>
  </si>
  <si>
    <t>Autonomous Drone Navigation in GPS-Denied Areas</t>
  </si>
  <si>
    <t>Karan Malhotra</t>
  </si>
  <si>
    <t>Practical demonstration</t>
  </si>
  <si>
    <t>Session Chair Name: Dr. Ananya Verma</t>
  </si>
  <si>
    <t>Session Chair Signature: _______________________</t>
  </si>
  <si>
    <t>Date: ____________________</t>
  </si>
  <si>
    <t>SESSION CHAIR — CONFERENCE FEEDBACK &amp; EVALUATION FORM</t>
  </si>
  <si>
    <t>Date:</t>
  </si>
  <si>
    <t>2026-10-15</t>
  </si>
  <si>
    <t>Institution:</t>
  </si>
  <si>
    <t>Session Chaired:</t>
  </si>
  <si>
    <t>Track 1 - Technical Session 2A</t>
  </si>
  <si>
    <t>Conference Parameter</t>
  </si>
  <si>
    <t>Rating Awarded</t>
  </si>
  <si>
    <t>Specific Observations / Notes</t>
  </si>
  <si>
    <t>Session Planning &amp; Coordination</t>
  </si>
  <si>
    <t>Session schedules and paper flow were well organized.</t>
  </si>
  <si>
    <t>Presentation &amp; Time Management</t>
  </si>
  <si>
    <t>Presenters adhered to the 15-minute slot effectively.</t>
  </si>
  <si>
    <t>Technical/AV &amp; Infrastructure Support</t>
  </si>
  <si>
    <t>Projection and mic worked well; hybrid link was stable.</t>
  </si>
  <si>
    <t>Participant &amp; Presenter Management</t>
  </si>
  <si>
    <t>High audience engagement and smooth presenter transitions.</t>
  </si>
  <si>
    <t>Overall Conference Organization &amp; Support</t>
  </si>
  <si>
    <t>Student volunteers and logistics desk were exceptionally helpful.</t>
  </si>
  <si>
    <t>Total Conference Rating</t>
  </si>
  <si>
    <t>QUALITATIVE FEEDBACK &amp; RECOMMENDATIONS FOR FUTURE CONFERENCES</t>
  </si>
  <si>
    <t>1. Key Highlights &amp; Strengths:
The student volunteer support was proactive. Audiovisuals and hybrid virtual rooms were seamless.</t>
  </si>
  <si>
    <t>2. Areas for Enhancement / Suggestions:
Ensure buffer of 5 minutes between parallel sessions to accommodate Q&amp;A overflow.</t>
  </si>
  <si>
    <t>Submission Date: ________________________</t>
  </si>
  <si>
    <t>IEEE CONFERENCE EVALUATION BENCHMARKS &amp; SCORING RUBRICS</t>
  </si>
  <si>
    <t>Comprehensive Guidelines for 10-Mark Assessment Criteria</t>
  </si>
  <si>
    <t>Outstanding (9 - 10)</t>
  </si>
  <si>
    <t>Good (7 - 8)</t>
  </si>
  <si>
    <t>Average (5 - 6)</t>
  </si>
  <si>
    <t>Below Average (3 - 4)</t>
  </si>
  <si>
    <t>Inadequate (0 - 2)</t>
  </si>
  <si>
    <t>Breakthrough research with profound contribution and major real-world / IEEE relevance.</t>
  </si>
  <si>
    <t>Sound original contribution with clear industrial or academic significance.</t>
  </si>
  <si>
    <t>Incremental improvement over known techniques; moderate novelty.</t>
  </si>
  <si>
    <t>Limited originality; highly standard work with little practical relevance.</t>
  </si>
  <si>
    <t>No discernible novelty; outdated or plagiarized ideas.</t>
  </si>
  <si>
    <t>Mathematically sound, rigorous experimental design, flawless validation &amp; depth.</t>
  </si>
  <si>
    <t>Solid technical formulation, adequate controls, valid assumptions and test suites.</t>
  </si>
  <si>
    <t>Basic methodology sound, but lacks exhaustive edge case or ablation validation.</t>
  </si>
  <si>
    <t>Weak methodology, noticeable flaws in analysis or theoretical reasoning.</t>
  </si>
  <si>
    <t>Fundamentally flawed methodology, invalid proofs or unverified claims.</t>
  </si>
  <si>
    <t>Extensive benchmarks vs state-of-the-art; statistically significant findings.</t>
  </si>
  <si>
    <t>Clear experimental results with good comparative baselines and insights.</t>
  </si>
  <si>
    <t>Results presented but comparisons are sparse or metrics poorly justified.</t>
  </si>
  <si>
    <t>Inconclusive data, sparse results, or insufficient experimental evidence.</t>
  </si>
  <si>
    <t>Unsubstantiated claims with virtually no reproducible results.</t>
  </si>
  <si>
    <t>Masterful delivery, exemplary visual aids, precise timing, and engaging pacing.</t>
  </si>
  <si>
    <t>Well-structured presentation, clear slides, confident delivery within time.</t>
  </si>
  <si>
    <t>Understandable delivery, but slides are dense or pacing occasionally uneven.</t>
  </si>
  <si>
    <t>Rushed or sluggish, poor slide design, exceeded time limit significantly.</t>
  </si>
  <si>
    <t>Disorganized, inaudible, unintelligible slides, serious timing breach.</t>
  </si>
  <si>
    <t>Authoritative mastery, insightful replies, handles tough critiques effortlessly.</t>
  </si>
  <si>
    <t>Thorough knowledge, answers questions convincingly and politely.</t>
  </si>
  <si>
    <t>Answers standard questions adequately; struggles with deeper theoretical queries.</t>
  </si>
  <si>
    <t>Superficial understanding, evasive answers, lacks depth on key concepts.</t>
  </si>
  <si>
    <t>Unable to answer fundamental domain questions or defend research.</t>
  </si>
  <si>
    <t>CONFERENCE ORGANIZATION &amp; SUPPORT RUBRIC BENCHMARKS</t>
  </si>
  <si>
    <t>Impeccable schedule alignment, proactive communication, timely logistics.</t>
  </si>
  <si>
    <t>Well organized, minor schedule deviations handled smoothly.</t>
  </si>
  <si>
    <t>Acceptable scheduling, slight delays or minor communication hiccups.</t>
  </si>
  <si>
    <t>Disorganized session flow, significant delays, lack of coordination.</t>
  </si>
  <si>
    <t>Chaotic scheduling, missing papers, severe lack of communication.</t>
  </si>
  <si>
    <t>Strict adherence to schedule, perfect time alerts, optimal session duration.</t>
  </si>
  <si>
    <t>Good timekeeping, timely reminders to authors, minor drift.</t>
  </si>
  <si>
    <t>Moderate time discipline; some presentations ran overtime.</t>
  </si>
  <si>
    <t>Poor time management; session ran severely over allotted slot.</t>
  </si>
  <si>
    <t>No time control; chaos in speaker transitions and session breakdown.</t>
  </si>
  <si>
    <t>Flawless display, crystal-clear audio, zero lag in hybrid streaming.</t>
  </si>
  <si>
    <t>Smooth projection and audio; minor AV glitches resolved promptly.</t>
  </si>
  <si>
    <t>Working AV but occasional microphone feedback or screen glitches.</t>
  </si>
  <si>
    <t>Frequent AV breakdowns, inadequate technical support assistance.</t>
  </si>
  <si>
    <t>AV failure, inoperable projection/audio, no IT help available.</t>
  </si>
  <si>
    <t>All presenters present and registered; high audience engagement.</t>
  </si>
  <si>
    <t>Most presenters on time, active Q&amp;A participation encouraged.</t>
  </si>
  <si>
    <t>Adequate attendance; minor gaps in presenter attendance tracking.</t>
  </si>
  <si>
    <t>Multiple no-show presenters without notice; sparse audience interaction.</t>
  </si>
  <si>
    <t>Severe disruption, missing presenters, hostile or chaotic audience.</t>
  </si>
  <si>
    <t>World-class hospitality, helpful volunteers, stellar event management.</t>
  </si>
  <si>
    <t>Professional conference environment, helpful secretariat support.</t>
  </si>
  <si>
    <t>Standard conference logistics with basic amenities satisfied.</t>
  </si>
  <si>
    <t>Disorganized front desk, unhelpful staff, lack of basic amenities.</t>
  </si>
  <si>
    <t>Grossly mismanaged conference logistics, unprofessional experience.</t>
  </si>
</sst>
</file>

<file path=xl/styles.xml><?xml version="1.0" encoding="utf-8"?>
<styleSheet xmlns="http://schemas.openxmlformats.org/spreadsheetml/2006/main">
  <numFmts count="1">
    <numFmt numFmtId="164" formatCode="#,##0"/>
  </numFmts>
  <fonts count="10">
    <font>
      <sz val="11"/>
      <color theme="1"/>
      <name val="Calibri"/>
      <family val="2"/>
      <scheme val="minor"/>
    </font>
    <font>
      <b/>
      <sz val="16"/>
      <color rgb="FF002855"/>
      <name val="Segoe UI"/>
      <family val="2"/>
    </font>
    <font>
      <b/>
      <sz val="12"/>
      <color rgb="FF00629B"/>
      <name val="Segoe UI"/>
      <family val="2"/>
    </font>
    <font>
      <b/>
      <sz val="10"/>
      <color rgb="FF1A365D"/>
      <name val="Segoe UI"/>
      <family val="2"/>
    </font>
    <font>
      <sz val="10"/>
      <color theme="1"/>
      <name val="Segoe UI"/>
      <family val="2"/>
    </font>
    <font>
      <b/>
      <sz val="11"/>
      <color rgb="FFFFFFFF"/>
      <name val="Segoe UI"/>
      <family val="2"/>
    </font>
    <font>
      <b/>
      <sz val="11"/>
      <color rgb="FF002855"/>
      <name val="Segoe UI"/>
      <family val="2"/>
    </font>
    <font>
      <b/>
      <sz val="11"/>
      <color rgb="FF2C3E50"/>
      <name val="Segoe UI"/>
      <family val="2"/>
    </font>
    <font>
      <b/>
      <sz val="10"/>
      <color rgb="FFFFFFFF"/>
      <name val="Segoe UI"/>
      <family val="2"/>
    </font>
    <font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E6F0FA"/>
        <bgColor indexed="64"/>
      </patternFill>
    </fill>
    <fill>
      <patternFill patternType="solid">
        <fgColor rgb="FF002855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2C3E50"/>
        <bgColor indexed="6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00629B"/>
      </left>
      <right style="medium">
        <color rgb="FF00629B"/>
      </right>
      <top style="medium">
        <color rgb="FF00629B"/>
      </top>
      <bottom style="medium">
        <color rgb="FF00629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23"/>
  <sheetViews>
    <sheetView tabSelected="1" workbookViewId="0"/>
  </sheetViews>
  <sheetFormatPr defaultRowHeight="15"/>
  <cols>
    <col min="1" max="1" width="5.7109375" customWidth="1"/>
    <col min="2" max="2" width="38.7109375" customWidth="1"/>
    <col min="3" max="3" width="16.7109375" customWidth="1"/>
    <col min="4" max="4" width="18.7109375" customWidth="1"/>
    <col min="5" max="5" width="25.7109375" customWidth="1"/>
  </cols>
  <sheetData>
    <row r="2" spans="1:5" ht="24" customHeight="1">
      <c r="A2" s="1" t="s">
        <v>0</v>
      </c>
      <c r="B2" s="1"/>
      <c r="C2" s="1"/>
      <c r="D2" s="1"/>
      <c r="E2" s="1"/>
    </row>
    <row r="3" spans="1:5" ht="20" customHeight="1">
      <c r="A3" s="2" t="s">
        <v>1</v>
      </c>
      <c r="B3" s="2"/>
      <c r="C3" s="2"/>
      <c r="D3" s="2"/>
      <c r="E3" s="2"/>
    </row>
    <row r="5" spans="1:5" ht="20" customHeight="1">
      <c r="A5" s="3" t="s">
        <v>2</v>
      </c>
      <c r="B5" s="4" t="s">
        <v>3</v>
      </c>
      <c r="C5" s="4"/>
      <c r="D5" s="3" t="s">
        <v>4</v>
      </c>
      <c r="E5" s="4" t="s">
        <v>5</v>
      </c>
    </row>
    <row r="6" spans="1:5" ht="20" customHeight="1">
      <c r="A6" s="3" t="s">
        <v>6</v>
      </c>
      <c r="B6" s="4" t="s">
        <v>7</v>
      </c>
      <c r="C6" s="4"/>
      <c r="D6" s="3" t="s">
        <v>8</v>
      </c>
      <c r="E6" s="4" t="s">
        <v>9</v>
      </c>
    </row>
    <row r="7" spans="1:5" ht="20" customHeight="1">
      <c r="A7" s="3" t="s">
        <v>10</v>
      </c>
      <c r="B7" s="4" t="s">
        <v>11</v>
      </c>
      <c r="C7" s="3" t="s">
        <v>12</v>
      </c>
      <c r="D7" s="4" t="s">
        <v>13</v>
      </c>
      <c r="E7" s="4"/>
    </row>
    <row r="8" spans="1:5" ht="24" customHeight="1">
      <c r="A8" s="3" t="s">
        <v>14</v>
      </c>
      <c r="B8" s="4" t="s">
        <v>15</v>
      </c>
      <c r="C8" s="4"/>
      <c r="D8" s="4"/>
      <c r="E8" s="4"/>
    </row>
    <row r="9" spans="1:5" ht="20" customHeight="1">
      <c r="A9" s="3" t="s">
        <v>16</v>
      </c>
      <c r="B9" s="4" t="s">
        <v>17</v>
      </c>
      <c r="C9" s="3" t="s">
        <v>18</v>
      </c>
      <c r="D9" s="4" t="s">
        <v>19</v>
      </c>
      <c r="E9" s="4"/>
    </row>
    <row r="11" spans="1:5" ht="26" customHeight="1">
      <c r="A11" s="5" t="s">
        <v>20</v>
      </c>
      <c r="B11" s="5" t="s">
        <v>21</v>
      </c>
      <c r="C11" s="5" t="s">
        <v>22</v>
      </c>
      <c r="D11" s="5" t="s">
        <v>23</v>
      </c>
      <c r="E11" s="5" t="s">
        <v>24</v>
      </c>
    </row>
    <row r="12" spans="1:5" ht="24" customHeight="1">
      <c r="A12" s="6" t="s">
        <v>25</v>
      </c>
      <c r="B12" s="7" t="s">
        <v>26</v>
      </c>
      <c r="C12" s="6">
        <v>10</v>
      </c>
      <c r="D12" s="8">
        <v>9</v>
      </c>
      <c r="E12" s="7" t="s">
        <v>27</v>
      </c>
    </row>
    <row r="13" spans="1:5" ht="24" customHeight="1">
      <c r="A13" s="6" t="s">
        <v>28</v>
      </c>
      <c r="B13" s="7" t="s">
        <v>29</v>
      </c>
      <c r="C13" s="6">
        <v>10</v>
      </c>
      <c r="D13" s="8">
        <v>8</v>
      </c>
      <c r="E13" s="7" t="s">
        <v>30</v>
      </c>
    </row>
    <row r="14" spans="1:5" ht="24" customHeight="1">
      <c r="A14" s="6" t="s">
        <v>31</v>
      </c>
      <c r="B14" s="7" t="s">
        <v>32</v>
      </c>
      <c r="C14" s="6">
        <v>10</v>
      </c>
      <c r="D14" s="8">
        <v>9</v>
      </c>
      <c r="E14" s="7" t="s">
        <v>33</v>
      </c>
    </row>
    <row r="15" spans="1:5" ht="24" customHeight="1">
      <c r="A15" s="6" t="s">
        <v>34</v>
      </c>
      <c r="B15" s="7" t="s">
        <v>35</v>
      </c>
      <c r="C15" s="6">
        <v>10</v>
      </c>
      <c r="D15" s="8">
        <v>8</v>
      </c>
      <c r="E15" s="7" t="s">
        <v>36</v>
      </c>
    </row>
    <row r="16" spans="1:5" ht="24" customHeight="1">
      <c r="A16" s="6" t="s">
        <v>37</v>
      </c>
      <c r="B16" s="7" t="s">
        <v>38</v>
      </c>
      <c r="C16" s="6">
        <v>10</v>
      </c>
      <c r="D16" s="8">
        <v>9</v>
      </c>
      <c r="E16" s="7" t="s">
        <v>39</v>
      </c>
    </row>
    <row r="17" spans="1:5" ht="26" customHeight="1">
      <c r="A17" s="9" t="s">
        <v>40</v>
      </c>
      <c r="B17" s="9"/>
      <c r="C17" s="10">
        <v>50</v>
      </c>
      <c r="D17" s="10">
        <f>SUM(D12:D16)</f>
        <v>0</v>
      </c>
      <c r="E17" s="6" t="s">
        <v>41</v>
      </c>
    </row>
    <row r="19" spans="1:5" ht="26" customHeight="1">
      <c r="A19" s="3" t="s">
        <v>42</v>
      </c>
      <c r="B19" s="3"/>
      <c r="C19" s="10" t="s">
        <v>43</v>
      </c>
      <c r="D19" s="10"/>
      <c r="E19" s="10"/>
    </row>
    <row r="21" spans="1:5" ht="32" customHeight="1">
      <c r="A21" s="7" t="s">
        <v>44</v>
      </c>
      <c r="B21" s="7"/>
      <c r="C21" s="7"/>
      <c r="D21" s="7"/>
      <c r="E21" s="7"/>
    </row>
    <row r="23" spans="1:5" ht="22" customHeight="1">
      <c r="A23" s="7" t="s">
        <v>45</v>
      </c>
      <c r="B23" s="7"/>
      <c r="C23" s="7" t="s">
        <v>46</v>
      </c>
      <c r="D23" s="7"/>
      <c r="E23" s="7"/>
    </row>
  </sheetData>
  <mergeCells count="13">
    <mergeCell ref="A2:E2"/>
    <mergeCell ref="A3:E3"/>
    <mergeCell ref="B5:C5"/>
    <mergeCell ref="B6:C6"/>
    <mergeCell ref="D7:E7"/>
    <mergeCell ref="B8:E8"/>
    <mergeCell ref="D9:E9"/>
    <mergeCell ref="A17:B17"/>
    <mergeCell ref="A19:B19"/>
    <mergeCell ref="C19:E19"/>
    <mergeCell ref="A21:E21"/>
    <mergeCell ref="A23:B23"/>
    <mergeCell ref="C23:E23"/>
  </mergeCells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L23"/>
  <sheetViews>
    <sheetView workbookViewId="0"/>
  </sheetViews>
  <sheetFormatPr defaultRowHeight="15"/>
  <cols>
    <col min="1" max="1" width="5.7109375" customWidth="1"/>
    <col min="2" max="2" width="14.7109375" customWidth="1"/>
    <col min="3" max="3" width="32.7109375" customWidth="1"/>
    <col min="4" max="4" width="20.7109375" customWidth="1"/>
    <col min="5" max="10" width="13.7109375" customWidth="1"/>
    <col min="11" max="11" width="15.7109375" customWidth="1"/>
    <col min="12" max="12" width="20.7109375" customWidth="1"/>
  </cols>
  <sheetData>
    <row r="2" spans="1:12" ht="24" customHeight="1">
      <c r="A2" s="1" t="s">
        <v>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" customHeight="1">
      <c r="A3" s="2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>
      <c r="A5" s="3" t="s">
        <v>2</v>
      </c>
      <c r="B5" s="4" t="s">
        <v>49</v>
      </c>
      <c r="C5" s="4"/>
      <c r="D5" s="4"/>
      <c r="E5" s="3" t="s">
        <v>50</v>
      </c>
      <c r="F5" s="4" t="s">
        <v>51</v>
      </c>
      <c r="G5" s="4"/>
      <c r="H5" s="4"/>
      <c r="I5" s="3" t="s">
        <v>16</v>
      </c>
      <c r="J5" s="4" t="s">
        <v>17</v>
      </c>
      <c r="K5" s="4"/>
      <c r="L5" s="4"/>
    </row>
    <row r="7" spans="1:12" ht="36" customHeight="1">
      <c r="A7" s="5" t="s">
        <v>52</v>
      </c>
      <c r="B7" s="5" t="s">
        <v>53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5" t="s">
        <v>61</v>
      </c>
      <c r="K7" s="5" t="s">
        <v>62</v>
      </c>
      <c r="L7" s="5" t="s">
        <v>63</v>
      </c>
    </row>
    <row r="8" spans="1:12" ht="22" customHeight="1">
      <c r="A8" s="6" t="s">
        <v>25</v>
      </c>
      <c r="B8" s="6" t="s">
        <v>64</v>
      </c>
      <c r="C8" s="7" t="s">
        <v>65</v>
      </c>
      <c r="D8" s="7" t="s">
        <v>13</v>
      </c>
      <c r="E8" s="8">
        <v>9</v>
      </c>
      <c r="F8" s="8">
        <v>8</v>
      </c>
      <c r="G8" s="8">
        <v>9</v>
      </c>
      <c r="H8" s="8">
        <v>8</v>
      </c>
      <c r="I8" s="8">
        <v>9</v>
      </c>
      <c r="J8" s="10">
        <f>SUM(E8:I8)</f>
        <v>0</v>
      </c>
      <c r="K8" s="6" t="s">
        <v>66</v>
      </c>
      <c r="L8" s="7" t="s">
        <v>67</v>
      </c>
    </row>
    <row r="9" spans="1:12" ht="22" customHeight="1">
      <c r="A9" s="6" t="s">
        <v>28</v>
      </c>
      <c r="B9" s="6" t="s">
        <v>68</v>
      </c>
      <c r="C9" s="7" t="s">
        <v>69</v>
      </c>
      <c r="D9" s="7" t="s">
        <v>70</v>
      </c>
      <c r="E9" s="8">
        <v>8</v>
      </c>
      <c r="F9" s="8">
        <v>8</v>
      </c>
      <c r="G9" s="8">
        <v>7</v>
      </c>
      <c r="H9" s="8">
        <v>9</v>
      </c>
      <c r="I9" s="8">
        <v>8</v>
      </c>
      <c r="J9" s="10">
        <f>SUM(E9:I9)</f>
        <v>0</v>
      </c>
      <c r="K9" s="6" t="s">
        <v>71</v>
      </c>
      <c r="L9" s="7" t="s">
        <v>72</v>
      </c>
    </row>
    <row r="10" spans="1:12" ht="22" customHeight="1">
      <c r="A10" s="6" t="s">
        <v>31</v>
      </c>
      <c r="B10" s="6" t="s">
        <v>73</v>
      </c>
      <c r="C10" s="7" t="s">
        <v>74</v>
      </c>
      <c r="D10" s="7" t="s">
        <v>75</v>
      </c>
      <c r="E10" s="8">
        <v>7</v>
      </c>
      <c r="F10" s="8">
        <v>7</v>
      </c>
      <c r="G10" s="8">
        <v>8</v>
      </c>
      <c r="H10" s="8">
        <v>7</v>
      </c>
      <c r="I10" s="8">
        <v>7</v>
      </c>
      <c r="J10" s="10">
        <f>SUM(E10:I10)</f>
        <v>0</v>
      </c>
      <c r="K10" s="6" t="s">
        <v>71</v>
      </c>
      <c r="L10" s="7" t="s">
        <v>76</v>
      </c>
    </row>
    <row r="11" spans="1:12" ht="22" customHeight="1">
      <c r="A11" s="6" t="s">
        <v>34</v>
      </c>
      <c r="B11" s="6" t="s">
        <v>77</v>
      </c>
      <c r="C11" s="7" t="s">
        <v>78</v>
      </c>
      <c r="D11" s="7" t="s">
        <v>79</v>
      </c>
      <c r="E11" s="8">
        <v>9</v>
      </c>
      <c r="F11" s="8">
        <v>9</v>
      </c>
      <c r="G11" s="8">
        <v>9</v>
      </c>
      <c r="H11" s="8">
        <v>8</v>
      </c>
      <c r="I11" s="8">
        <v>9</v>
      </c>
      <c r="J11" s="10">
        <f>SUM(E11:I11)</f>
        <v>0</v>
      </c>
      <c r="K11" s="6" t="s">
        <v>66</v>
      </c>
      <c r="L11" s="7" t="s">
        <v>80</v>
      </c>
    </row>
    <row r="12" spans="1:12" ht="22" customHeight="1">
      <c r="A12" s="6" t="s">
        <v>37</v>
      </c>
      <c r="B12" s="6" t="s">
        <v>81</v>
      </c>
      <c r="C12" s="7" t="s">
        <v>82</v>
      </c>
      <c r="D12" s="7" t="s">
        <v>83</v>
      </c>
      <c r="E12" s="8">
        <v>7</v>
      </c>
      <c r="F12" s="8">
        <v>6</v>
      </c>
      <c r="G12" s="8">
        <v>6</v>
      </c>
      <c r="H12" s="8">
        <v>7</v>
      </c>
      <c r="I12" s="8">
        <v>6</v>
      </c>
      <c r="J12" s="10">
        <f>SUM(E12:I12)</f>
        <v>0</v>
      </c>
      <c r="K12" s="6" t="s">
        <v>71</v>
      </c>
      <c r="L12" s="7" t="s">
        <v>84</v>
      </c>
    </row>
    <row r="13" spans="1:12" ht="22" customHeight="1">
      <c r="A13" s="6" t="s">
        <v>85</v>
      </c>
      <c r="B13" s="6" t="s">
        <v>86</v>
      </c>
      <c r="C13" s="7" t="s">
        <v>87</v>
      </c>
      <c r="D13" s="7" t="s">
        <v>88</v>
      </c>
      <c r="E13" s="8">
        <v>8</v>
      </c>
      <c r="F13" s="8">
        <v>8</v>
      </c>
      <c r="G13" s="8">
        <v>7</v>
      </c>
      <c r="H13" s="8">
        <v>8</v>
      </c>
      <c r="I13" s="8">
        <v>7</v>
      </c>
      <c r="J13" s="10">
        <f>SUM(E13:I13)</f>
        <v>0</v>
      </c>
      <c r="K13" s="6" t="s">
        <v>71</v>
      </c>
      <c r="L13" s="7" t="s">
        <v>89</v>
      </c>
    </row>
    <row r="14" spans="1:12" ht="22" customHeight="1">
      <c r="A14" s="6" t="s">
        <v>90</v>
      </c>
      <c r="B14" s="6" t="s">
        <v>91</v>
      </c>
      <c r="C14" s="7" t="s">
        <v>92</v>
      </c>
      <c r="D14" s="7" t="s">
        <v>93</v>
      </c>
      <c r="E14" s="8">
        <v>8</v>
      </c>
      <c r="F14" s="8">
        <v>7</v>
      </c>
      <c r="G14" s="8">
        <v>8</v>
      </c>
      <c r="H14" s="8">
        <v>7</v>
      </c>
      <c r="I14" s="8">
        <v>7</v>
      </c>
      <c r="J14" s="10">
        <f>SUM(E14:I14)</f>
        <v>0</v>
      </c>
      <c r="K14" s="6" t="s">
        <v>71</v>
      </c>
      <c r="L14" s="7" t="s">
        <v>94</v>
      </c>
    </row>
    <row r="15" spans="1:12" ht="22" customHeight="1">
      <c r="A15" s="6" t="s">
        <v>95</v>
      </c>
      <c r="B15" s="6" t="s">
        <v>96</v>
      </c>
      <c r="C15" s="7" t="s">
        <v>97</v>
      </c>
      <c r="D15" s="7" t="s">
        <v>98</v>
      </c>
      <c r="E15" s="8">
        <v>9</v>
      </c>
      <c r="F15" s="8">
        <v>8</v>
      </c>
      <c r="G15" s="8">
        <v>8</v>
      </c>
      <c r="H15" s="8">
        <v>9</v>
      </c>
      <c r="I15" s="8">
        <v>8</v>
      </c>
      <c r="J15" s="10">
        <f>SUM(E15:I15)</f>
        <v>0</v>
      </c>
      <c r="K15" s="6" t="s">
        <v>66</v>
      </c>
      <c r="L15" s="7" t="s">
        <v>99</v>
      </c>
    </row>
    <row r="16" spans="1:12" ht="22" customHeight="1">
      <c r="A16" s="6">
        <v>9</v>
      </c>
      <c r="B16" s="6"/>
      <c r="C16" s="7"/>
      <c r="D16" s="7"/>
      <c r="E16" s="8"/>
      <c r="F16" s="8"/>
      <c r="G16" s="8"/>
      <c r="H16" s="8"/>
      <c r="I16" s="8"/>
      <c r="J16" s="10">
        <f>IF(COUNT(E16:I16)&gt;0,SUM(E16:I16),"")</f>
        <v>0</v>
      </c>
      <c r="K16" s="6"/>
      <c r="L16" s="7"/>
    </row>
    <row r="17" spans="1:12" ht="22" customHeight="1">
      <c r="A17" s="6">
        <v>10</v>
      </c>
      <c r="B17" s="6"/>
      <c r="C17" s="7"/>
      <c r="D17" s="7"/>
      <c r="E17" s="8"/>
      <c r="F17" s="8"/>
      <c r="G17" s="8"/>
      <c r="H17" s="8"/>
      <c r="I17" s="8"/>
      <c r="J17" s="10">
        <f>IF(COUNT(E17:I17)&gt;0,SUM(E17:I17),"")</f>
        <v>0</v>
      </c>
      <c r="K17" s="6"/>
      <c r="L17" s="7"/>
    </row>
    <row r="18" spans="1:12" ht="22" customHeight="1">
      <c r="A18" s="6">
        <v>11</v>
      </c>
      <c r="B18" s="6"/>
      <c r="C18" s="7"/>
      <c r="D18" s="7"/>
      <c r="E18" s="8"/>
      <c r="F18" s="8"/>
      <c r="G18" s="8"/>
      <c r="H18" s="8"/>
      <c r="I18" s="8"/>
      <c r="J18" s="10">
        <f>IF(COUNT(E18:I18)&gt;0,SUM(E18:I18),"")</f>
        <v>0</v>
      </c>
      <c r="K18" s="6"/>
      <c r="L18" s="7"/>
    </row>
    <row r="19" spans="1:12" ht="22" customHeight="1">
      <c r="A19" s="6">
        <v>12</v>
      </c>
      <c r="B19" s="6"/>
      <c r="C19" s="7"/>
      <c r="D19" s="7"/>
      <c r="E19" s="8"/>
      <c r="F19" s="8"/>
      <c r="G19" s="8"/>
      <c r="H19" s="8"/>
      <c r="I19" s="8"/>
      <c r="J19" s="10">
        <f>IF(COUNT(E19:I19)&gt;0,SUM(E19:I19),"")</f>
        <v>0</v>
      </c>
      <c r="K19" s="6"/>
      <c r="L19" s="7"/>
    </row>
    <row r="20" spans="1:12" ht="22" customHeight="1">
      <c r="A20" s="6">
        <v>13</v>
      </c>
      <c r="B20" s="6"/>
      <c r="C20" s="7"/>
      <c r="D20" s="7"/>
      <c r="E20" s="8"/>
      <c r="F20" s="8"/>
      <c r="G20" s="8"/>
      <c r="H20" s="8"/>
      <c r="I20" s="8"/>
      <c r="J20" s="10">
        <f>IF(COUNT(E20:I20)&gt;0,SUM(E20:I20),"")</f>
        <v>0</v>
      </c>
      <c r="K20" s="6"/>
      <c r="L20" s="7"/>
    </row>
    <row r="23" spans="1:12" ht="22" customHeight="1">
      <c r="A23" s="7" t="s">
        <v>100</v>
      </c>
      <c r="B23" s="7"/>
      <c r="C23" s="7"/>
      <c r="D23" s="7"/>
      <c r="E23" s="7" t="s">
        <v>101</v>
      </c>
      <c r="F23" s="7"/>
      <c r="G23" s="7"/>
      <c r="H23" s="7"/>
      <c r="I23" s="7" t="s">
        <v>102</v>
      </c>
      <c r="J23" s="7"/>
      <c r="K23" s="7"/>
      <c r="L23" s="7"/>
    </row>
  </sheetData>
  <mergeCells count="8">
    <mergeCell ref="A2:L2"/>
    <mergeCell ref="A3:L3"/>
    <mergeCell ref="B5:D5"/>
    <mergeCell ref="F5:H5"/>
    <mergeCell ref="J5:L5"/>
    <mergeCell ref="A23:D23"/>
    <mergeCell ref="E23:H23"/>
    <mergeCell ref="I23:L23"/>
  </mergeCells>
  <pageMargins left="0.5" right="0.5" top="0.5" bottom="0.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E20"/>
  <sheetViews>
    <sheetView workbookViewId="0"/>
  </sheetViews>
  <sheetFormatPr defaultRowHeight="15"/>
  <cols>
    <col min="1" max="1" width="5.7109375" customWidth="1"/>
    <col min="2" max="2" width="42.7109375" customWidth="1"/>
    <col min="3" max="3" width="16.7109375" customWidth="1"/>
    <col min="4" max="4" width="18.7109375" customWidth="1"/>
    <col min="5" max="5" width="25.7109375" customWidth="1"/>
  </cols>
  <sheetData>
    <row r="2" spans="1:5" ht="24" customHeight="1">
      <c r="A2" s="1" t="s">
        <v>0</v>
      </c>
      <c r="B2" s="1"/>
      <c r="C2" s="1"/>
      <c r="D2" s="1"/>
      <c r="E2" s="1"/>
    </row>
    <row r="3" spans="1:5" ht="20" customHeight="1">
      <c r="A3" s="2" t="s">
        <v>103</v>
      </c>
      <c r="B3" s="2"/>
      <c r="C3" s="2"/>
      <c r="D3" s="2"/>
      <c r="E3" s="2"/>
    </row>
    <row r="5" spans="1:5" ht="20" customHeight="1">
      <c r="A5" s="3" t="s">
        <v>16</v>
      </c>
      <c r="B5" s="4" t="s">
        <v>17</v>
      </c>
      <c r="C5" s="4"/>
      <c r="D5" s="3" t="s">
        <v>104</v>
      </c>
      <c r="E5" s="4" t="s">
        <v>105</v>
      </c>
    </row>
    <row r="6" spans="1:5" ht="20" customHeight="1">
      <c r="A6" s="3" t="s">
        <v>106</v>
      </c>
      <c r="B6" s="4" t="s">
        <v>19</v>
      </c>
      <c r="C6" s="4"/>
      <c r="D6" s="3" t="s">
        <v>107</v>
      </c>
      <c r="E6" s="4" t="s">
        <v>108</v>
      </c>
    </row>
    <row r="8" spans="1:5" ht="26" customHeight="1">
      <c r="A8" s="5" t="s">
        <v>20</v>
      </c>
      <c r="B8" s="5" t="s">
        <v>109</v>
      </c>
      <c r="C8" s="5" t="s">
        <v>22</v>
      </c>
      <c r="D8" s="5" t="s">
        <v>110</v>
      </c>
      <c r="E8" s="5" t="s">
        <v>111</v>
      </c>
    </row>
    <row r="9" spans="1:5" ht="24" customHeight="1">
      <c r="A9" s="6" t="s">
        <v>25</v>
      </c>
      <c r="B9" s="7" t="s">
        <v>112</v>
      </c>
      <c r="C9" s="6">
        <v>10</v>
      </c>
      <c r="D9" s="8">
        <v>9</v>
      </c>
      <c r="E9" s="7" t="s">
        <v>113</v>
      </c>
    </row>
    <row r="10" spans="1:5" ht="24" customHeight="1">
      <c r="A10" s="6" t="s">
        <v>28</v>
      </c>
      <c r="B10" s="7" t="s">
        <v>114</v>
      </c>
      <c r="C10" s="6">
        <v>10</v>
      </c>
      <c r="D10" s="8">
        <v>9</v>
      </c>
      <c r="E10" s="7" t="s">
        <v>115</v>
      </c>
    </row>
    <row r="11" spans="1:5" ht="24" customHeight="1">
      <c r="A11" s="6" t="s">
        <v>31</v>
      </c>
      <c r="B11" s="7" t="s">
        <v>116</v>
      </c>
      <c r="C11" s="6">
        <v>10</v>
      </c>
      <c r="D11" s="8">
        <v>8</v>
      </c>
      <c r="E11" s="7" t="s">
        <v>117</v>
      </c>
    </row>
    <row r="12" spans="1:5" ht="24" customHeight="1">
      <c r="A12" s="6" t="s">
        <v>34</v>
      </c>
      <c r="B12" s="7" t="s">
        <v>118</v>
      </c>
      <c r="C12" s="6">
        <v>10</v>
      </c>
      <c r="D12" s="8">
        <v>9</v>
      </c>
      <c r="E12" s="7" t="s">
        <v>119</v>
      </c>
    </row>
    <row r="13" spans="1:5" ht="24" customHeight="1">
      <c r="A13" s="6" t="s">
        <v>37</v>
      </c>
      <c r="B13" s="7" t="s">
        <v>120</v>
      </c>
      <c r="C13" s="6">
        <v>10</v>
      </c>
      <c r="D13" s="8">
        <v>9</v>
      </c>
      <c r="E13" s="7" t="s">
        <v>121</v>
      </c>
    </row>
    <row r="14" spans="1:5" ht="26" customHeight="1">
      <c r="A14" s="9" t="s">
        <v>122</v>
      </c>
      <c r="B14" s="9"/>
      <c r="C14" s="10">
        <v>50</v>
      </c>
      <c r="D14" s="10">
        <f>SUM(D9:D13)</f>
        <v>0</v>
      </c>
      <c r="E14" s="6" t="s">
        <v>41</v>
      </c>
    </row>
    <row r="16" spans="1:5" ht="20" customHeight="1">
      <c r="A16" s="11" t="s">
        <v>123</v>
      </c>
      <c r="B16" s="11"/>
      <c r="C16" s="11"/>
      <c r="D16" s="11"/>
      <c r="E16" s="11"/>
    </row>
    <row r="17" spans="1:5" ht="30" customHeight="1">
      <c r="A17" s="7" t="s">
        <v>124</v>
      </c>
      <c r="B17" s="7"/>
      <c r="C17" s="7"/>
      <c r="D17" s="7"/>
      <c r="E17" s="7"/>
    </row>
    <row r="18" spans="1:5" ht="30" customHeight="1">
      <c r="A18" s="7" t="s">
        <v>125</v>
      </c>
      <c r="B18" s="7"/>
      <c r="C18" s="7"/>
      <c r="D18" s="7"/>
      <c r="E18" s="7"/>
    </row>
    <row r="20" spans="1:5" ht="22" customHeight="1">
      <c r="A20" s="7" t="s">
        <v>45</v>
      </c>
      <c r="B20" s="7"/>
      <c r="C20" s="7" t="s">
        <v>126</v>
      </c>
      <c r="D20" s="7"/>
      <c r="E20" s="7"/>
    </row>
  </sheetData>
  <mergeCells count="10">
    <mergeCell ref="A2:E2"/>
    <mergeCell ref="A3:E3"/>
    <mergeCell ref="B5:C5"/>
    <mergeCell ref="B6:C6"/>
    <mergeCell ref="A14:B14"/>
    <mergeCell ref="A16:E16"/>
    <mergeCell ref="A17:E17"/>
    <mergeCell ref="A18:E18"/>
    <mergeCell ref="A20:B20"/>
    <mergeCell ref="C20:E20"/>
  </mergeCells>
  <pageMargins left="0.5" right="0.5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2:G18"/>
  <sheetViews>
    <sheetView workbookViewId="0"/>
  </sheetViews>
  <sheetFormatPr defaultRowHeight="15"/>
  <cols>
    <col min="1" max="1" width="5.7109375" customWidth="1"/>
    <col min="2" max="2" width="25.7109375" customWidth="1"/>
    <col min="3" max="7" width="22.7109375" customWidth="1"/>
  </cols>
  <sheetData>
    <row r="2" spans="1:7" ht="24" customHeight="1">
      <c r="A2" s="1" t="s">
        <v>127</v>
      </c>
      <c r="B2" s="1"/>
      <c r="C2" s="1"/>
      <c r="D2" s="1"/>
      <c r="E2" s="1"/>
      <c r="F2" s="1"/>
      <c r="G2" s="1"/>
    </row>
    <row r="3" spans="1:7" ht="18" customHeight="1">
      <c r="A3" s="2" t="s">
        <v>128</v>
      </c>
      <c r="B3" s="2"/>
      <c r="C3" s="2"/>
      <c r="D3" s="2"/>
      <c r="E3" s="2"/>
      <c r="F3" s="2"/>
      <c r="G3" s="2"/>
    </row>
    <row r="5" spans="1:7" ht="26" customHeight="1">
      <c r="A5" s="12" t="s">
        <v>20</v>
      </c>
      <c r="B5" s="12" t="s">
        <v>21</v>
      </c>
      <c r="C5" s="12" t="s">
        <v>129</v>
      </c>
      <c r="D5" s="12" t="s">
        <v>130</v>
      </c>
      <c r="E5" s="12" t="s">
        <v>131</v>
      </c>
      <c r="F5" s="12" t="s">
        <v>132</v>
      </c>
      <c r="G5" s="12" t="s">
        <v>133</v>
      </c>
    </row>
    <row r="6" spans="1:7" ht="48" customHeight="1">
      <c r="A6" s="6" t="s">
        <v>25</v>
      </c>
      <c r="B6" s="7" t="s">
        <v>26</v>
      </c>
      <c r="C6" s="13" t="s">
        <v>134</v>
      </c>
      <c r="D6" s="13" t="s">
        <v>135</v>
      </c>
      <c r="E6" s="13" t="s">
        <v>136</v>
      </c>
      <c r="F6" s="13" t="s">
        <v>137</v>
      </c>
      <c r="G6" s="13" t="s">
        <v>138</v>
      </c>
    </row>
    <row r="7" spans="1:7" ht="48" customHeight="1">
      <c r="A7" s="6" t="s">
        <v>28</v>
      </c>
      <c r="B7" s="7" t="s">
        <v>29</v>
      </c>
      <c r="C7" s="13" t="s">
        <v>139</v>
      </c>
      <c r="D7" s="13" t="s">
        <v>140</v>
      </c>
      <c r="E7" s="13" t="s">
        <v>141</v>
      </c>
      <c r="F7" s="13" t="s">
        <v>142</v>
      </c>
      <c r="G7" s="13" t="s">
        <v>143</v>
      </c>
    </row>
    <row r="8" spans="1:7" ht="48" customHeight="1">
      <c r="A8" s="6" t="s">
        <v>31</v>
      </c>
      <c r="B8" s="7" t="s">
        <v>32</v>
      </c>
      <c r="C8" s="13" t="s">
        <v>144</v>
      </c>
      <c r="D8" s="13" t="s">
        <v>145</v>
      </c>
      <c r="E8" s="13" t="s">
        <v>146</v>
      </c>
      <c r="F8" s="13" t="s">
        <v>147</v>
      </c>
      <c r="G8" s="13" t="s">
        <v>148</v>
      </c>
    </row>
    <row r="9" spans="1:7" ht="48" customHeight="1">
      <c r="A9" s="6" t="s">
        <v>34</v>
      </c>
      <c r="B9" s="7" t="s">
        <v>35</v>
      </c>
      <c r="C9" s="13" t="s">
        <v>149</v>
      </c>
      <c r="D9" s="13" t="s">
        <v>150</v>
      </c>
      <c r="E9" s="13" t="s">
        <v>151</v>
      </c>
      <c r="F9" s="13" t="s">
        <v>152</v>
      </c>
      <c r="G9" s="13" t="s">
        <v>153</v>
      </c>
    </row>
    <row r="10" spans="1:7" ht="48" customHeight="1">
      <c r="A10" s="6" t="s">
        <v>37</v>
      </c>
      <c r="B10" s="7" t="s">
        <v>38</v>
      </c>
      <c r="C10" s="13" t="s">
        <v>154</v>
      </c>
      <c r="D10" s="13" t="s">
        <v>155</v>
      </c>
      <c r="E10" s="13" t="s">
        <v>156</v>
      </c>
      <c r="F10" s="13" t="s">
        <v>157</v>
      </c>
      <c r="G10" s="13" t="s">
        <v>158</v>
      </c>
    </row>
    <row r="13" spans="1:7" ht="22" customHeight="1">
      <c r="A13" s="11" t="s">
        <v>159</v>
      </c>
      <c r="B13" s="11"/>
      <c r="C13" s="11"/>
      <c r="D13" s="11"/>
      <c r="E13" s="11"/>
      <c r="F13" s="11"/>
      <c r="G13" s="11"/>
    </row>
    <row r="14" spans="1:7" ht="48" customHeight="1">
      <c r="A14" s="6" t="s">
        <v>25</v>
      </c>
      <c r="B14" s="7" t="s">
        <v>112</v>
      </c>
      <c r="C14" s="13" t="s">
        <v>160</v>
      </c>
      <c r="D14" s="13" t="s">
        <v>161</v>
      </c>
      <c r="E14" s="13" t="s">
        <v>162</v>
      </c>
      <c r="F14" s="13" t="s">
        <v>163</v>
      </c>
      <c r="G14" s="13" t="s">
        <v>164</v>
      </c>
    </row>
    <row r="15" spans="1:7" ht="48" customHeight="1">
      <c r="A15" s="6" t="s">
        <v>28</v>
      </c>
      <c r="B15" s="7" t="s">
        <v>114</v>
      </c>
      <c r="C15" s="13" t="s">
        <v>165</v>
      </c>
      <c r="D15" s="13" t="s">
        <v>166</v>
      </c>
      <c r="E15" s="13" t="s">
        <v>167</v>
      </c>
      <c r="F15" s="13" t="s">
        <v>168</v>
      </c>
      <c r="G15" s="13" t="s">
        <v>169</v>
      </c>
    </row>
    <row r="16" spans="1:7" ht="48" customHeight="1">
      <c r="A16" s="6" t="s">
        <v>31</v>
      </c>
      <c r="B16" s="7" t="s">
        <v>116</v>
      </c>
      <c r="C16" s="13" t="s">
        <v>170</v>
      </c>
      <c r="D16" s="13" t="s">
        <v>171</v>
      </c>
      <c r="E16" s="13" t="s">
        <v>172</v>
      </c>
      <c r="F16" s="13" t="s">
        <v>173</v>
      </c>
      <c r="G16" s="13" t="s">
        <v>174</v>
      </c>
    </row>
    <row r="17" spans="1:7" ht="48" customHeight="1">
      <c r="A17" s="6" t="s">
        <v>34</v>
      </c>
      <c r="B17" s="7" t="s">
        <v>118</v>
      </c>
      <c r="C17" s="13" t="s">
        <v>175</v>
      </c>
      <c r="D17" s="13" t="s">
        <v>176</v>
      </c>
      <c r="E17" s="13" t="s">
        <v>177</v>
      </c>
      <c r="F17" s="13" t="s">
        <v>178</v>
      </c>
      <c r="G17" s="13" t="s">
        <v>179</v>
      </c>
    </row>
    <row r="18" spans="1:7" ht="48" customHeight="1">
      <c r="A18" s="6" t="s">
        <v>37</v>
      </c>
      <c r="B18" s="7" t="s">
        <v>120</v>
      </c>
      <c r="C18" s="13" t="s">
        <v>180</v>
      </c>
      <c r="D18" s="13" t="s">
        <v>181</v>
      </c>
      <c r="E18" s="13" t="s">
        <v>182</v>
      </c>
      <c r="F18" s="13" t="s">
        <v>183</v>
      </c>
      <c r="G18" s="13" t="s">
        <v>184</v>
      </c>
    </row>
  </sheetData>
  <mergeCells count="3">
    <mergeCell ref="A2:G2"/>
    <mergeCell ref="A3:G3"/>
    <mergeCell ref="A13:G13"/>
  </mergeCells>
  <pageMargins left="0.5" right="0.5" top="0.5" bottom="0.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 Evaluation Form</vt:lpstr>
      <vt:lpstr>Session Consolidated Sheet</vt:lpstr>
      <vt:lpstr>Conference Feedback Form</vt:lpstr>
      <vt:lpstr>Scoring Rubrics &amp;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2026-09-23T11:53:02Z</dcterms:created>
  <dcterms:modified xsi:type="dcterms:W3CDTF">2026-09-23T11:53:02Z</dcterms:modified>
</cp:coreProperties>
</file>